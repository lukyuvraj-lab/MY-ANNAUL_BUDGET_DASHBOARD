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 /><Relationship Id="rId2" Type="http://schemas.microsoft.com/office/2020/02/relationships/classificationlabels" Target="docMetadata/LabelInfo.xml" /><Relationship Id="rId1" Type="http://schemas.openxmlformats.org/officeDocument/2006/relationships/officeDocument" Target="xl/workbook.xml" /><Relationship Id="rId5" Type="http://schemas.openxmlformats.org/officeDocument/2006/relationships/custom-properties" Target="docProps/custom.xml" /><Relationship Id="rId4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codeName="ThisWorkbook"/>
  <xr:revisionPtr revIDLastSave="0" documentId="8_{C54A42F0-4BC8-D047-822E-CDDAC1ACEB1C}" xr6:coauthVersionLast="47" xr6:coauthVersionMax="47" xr10:uidLastSave="{00000000-0000-0000-0000-000000000000}"/>
  <bookViews>
    <workbookView xWindow="0" yWindow="0" windowWidth="20490" windowHeight="7530" xr2:uid="{00000000-000D-0000-FFFF-FFFF00000000}"/>
  </bookViews>
  <sheets>
    <sheet name="Budget by month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4" l="1"/>
  <c r="D47" i="4"/>
  <c r="G45" i="4"/>
  <c r="G47" i="4"/>
  <c r="C45" i="4"/>
  <c r="B45" i="4"/>
  <c r="N44" i="4"/>
  <c r="N43" i="4"/>
  <c r="M45" i="4"/>
  <c r="M47" i="4"/>
  <c r="L45" i="4"/>
  <c r="L47" i="4"/>
  <c r="K45" i="4"/>
  <c r="K47" i="4"/>
  <c r="J45" i="4"/>
  <c r="J47" i="4"/>
  <c r="I45" i="4"/>
  <c r="I47" i="4"/>
  <c r="H45" i="4"/>
  <c r="H47" i="4"/>
  <c r="E45" i="4"/>
  <c r="E47" i="4"/>
  <c r="F45" i="4"/>
  <c r="F47" i="4"/>
  <c r="N24" i="4"/>
  <c r="N25" i="4"/>
  <c r="N26" i="4"/>
  <c r="N27" i="4"/>
  <c r="N28" i="4"/>
  <c r="N34" i="4"/>
  <c r="N30" i="4"/>
  <c r="N23" i="4"/>
  <c r="N39" i="4"/>
  <c r="N29" i="4"/>
  <c r="N31" i="4"/>
  <c r="N32" i="4"/>
  <c r="N33" i="4"/>
  <c r="N35" i="4"/>
  <c r="N36" i="4"/>
  <c r="N37" i="4"/>
  <c r="N38" i="4"/>
  <c r="N40" i="4"/>
  <c r="N42" i="4"/>
  <c r="N41" i="4"/>
  <c r="N14" i="4"/>
  <c r="N15" i="4"/>
  <c r="N16" i="4"/>
  <c r="N17" i="4"/>
  <c r="N18" i="4"/>
  <c r="M19" i="4"/>
  <c r="C19" i="4"/>
  <c r="C47" i="4"/>
  <c r="D19" i="4"/>
  <c r="E19" i="4"/>
  <c r="F19" i="4"/>
  <c r="G19" i="4"/>
  <c r="H19" i="4"/>
  <c r="I19" i="4"/>
  <c r="J19" i="4"/>
  <c r="K19" i="4"/>
  <c r="L19" i="4"/>
  <c r="B19" i="4"/>
  <c r="B47" i="4"/>
  <c r="N45" i="4"/>
  <c r="B6" i="4"/>
  <c r="N19" i="4"/>
  <c r="N47" i="4"/>
  <c r="B5" i="4"/>
  <c r="B10" i="4"/>
  <c r="B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V4" authorId="0" shapeId="0" xr:uid="{00000000-0006-0000-0000-000001000000}">
      <text>
        <r>
          <rPr>
            <sz val="11"/>
            <color theme="1"/>
            <rFont val="Century Gothic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1lac 17850
</t>
        </r>
      </text>
    </comment>
  </commentList>
</comments>
</file>

<file path=xl/sharedStrings.xml><?xml version="1.0" encoding="utf-8"?>
<sst xmlns="http://schemas.openxmlformats.org/spreadsheetml/2006/main" count="68" uniqueCount="50">
  <si>
    <t>ANNUAL BUDGET</t>
  </si>
  <si>
    <t>BOB Chiti</t>
  </si>
  <si>
    <t>SUMMARY</t>
  </si>
  <si>
    <t>1LD</t>
  </si>
  <si>
    <t>Total monthly income</t>
  </si>
  <si>
    <t>Total monthly expenses</t>
  </si>
  <si>
    <t>Chiti</t>
  </si>
  <si>
    <t>BALANCE</t>
  </si>
  <si>
    <t>Total</t>
  </si>
  <si>
    <t>PERCENTAGE OF INCOME SPENT</t>
  </si>
  <si>
    <t>INCOME</t>
  </si>
  <si>
    <t>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</si>
  <si>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</si>
  <si>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</si>
  <si>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</si>
  <si>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</si>
  <si>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</si>
  <si>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</si>
  <si>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</si>
  <si>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</si>
  <si>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</si>
  <si>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</si>
  <si>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</si>
  <si>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</si>
  <si>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Salary</t>
  </si>
  <si>
    <t xml:space="preserve">Loans </t>
  </si>
  <si>
    <t xml:space="preserve">Balance </t>
  </si>
  <si>
    <t xml:space="preserve">Finance </t>
  </si>
  <si>
    <t>EXPENSES</t>
  </si>
  <si>
    <t>Beating</t>
  </si>
  <si>
    <t>Bekari/Shop</t>
  </si>
  <si>
    <t xml:space="preserve">Bike </t>
  </si>
  <si>
    <t>Credit Card</t>
  </si>
  <si>
    <t>Debt</t>
  </si>
  <si>
    <t>Entertainment</t>
  </si>
  <si>
    <t>Gifts</t>
  </si>
  <si>
    <t>Groceries/vegtables</t>
  </si>
  <si>
    <t>Health</t>
  </si>
  <si>
    <t>Home</t>
  </si>
  <si>
    <t>Hotel/Daba</t>
  </si>
  <si>
    <t>Insurance</t>
  </si>
  <si>
    <t>Loan</t>
  </si>
  <si>
    <t>Other</t>
  </si>
  <si>
    <t xml:space="preserve">Petrol/Diesel </t>
  </si>
  <si>
    <t>Parking</t>
  </si>
  <si>
    <t>Recharge</t>
  </si>
  <si>
    <t>Saloon</t>
  </si>
  <si>
    <t>Shopping</t>
  </si>
  <si>
    <t>Travel</t>
  </si>
  <si>
    <t>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</si>
</sst>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22" x14ac:knownFonts="1">
    <font>
      <sz val="11"/>
      <color theme="1"/>
      <name val="Century Gothic"/>
      <family val="2"/>
      <scheme val="minor"/>
    </font>
    <font>
      <sz val="11"/>
      <color theme="1"/>
      <name val="Aptos"/>
      <family val="2"/>
    </font>
    <font>
      <sz val="10"/>
      <color theme="1" tint="4.9989318521683403E-2"/>
      <name val="Century Gothic"/>
      <family val="1"/>
      <scheme val="minor"/>
    </font>
    <font>
      <sz val="11"/>
      <color theme="1" tint="4.9989318521683403E-2"/>
      <name val="Aptos"/>
      <family val="2"/>
    </font>
    <font>
      <b/>
      <sz val="11"/>
      <color theme="0"/>
      <name val="Century Gothic"/>
      <family val="1"/>
      <scheme val="major"/>
    </font>
    <font>
      <sz val="11"/>
      <name val="Century Gothic"/>
      <family val="2"/>
      <scheme val="minor"/>
    </font>
    <font>
      <b/>
      <sz val="14"/>
      <color theme="1" tint="4.9989318521683403E-2"/>
      <name val="Century Gothic"/>
      <family val="2"/>
      <scheme val="minor"/>
    </font>
    <font>
      <sz val="11"/>
      <color theme="0"/>
      <name val="Century Gothic"/>
      <family val="1"/>
      <scheme val="minor"/>
    </font>
    <font>
      <sz val="32"/>
      <color theme="0"/>
      <name val="Century Gothic"/>
      <family val="1"/>
      <scheme val="major"/>
    </font>
    <font>
      <sz val="11"/>
      <color theme="1"/>
      <name val="Century Gothic"/>
      <family val="1"/>
      <scheme val="minor"/>
    </font>
    <font>
      <sz val="32"/>
      <color theme="1"/>
      <name val="Century Gothic"/>
      <family val="1"/>
      <scheme val="minor"/>
    </font>
    <font>
      <b/>
      <sz val="16"/>
      <color theme="1"/>
      <name val="Century Gothic"/>
      <family val="1"/>
      <scheme val="minor"/>
    </font>
    <font>
      <b/>
      <sz val="14"/>
      <color theme="1"/>
      <name val="Century Gothic"/>
      <family val="1"/>
      <scheme val="minor"/>
    </font>
    <font>
      <sz val="14"/>
      <color theme="1"/>
      <name val="Century Gothic"/>
      <family val="1"/>
      <scheme val="minor"/>
    </font>
    <font>
      <b/>
      <sz val="24"/>
      <color theme="1"/>
      <name val="Century Gothic"/>
      <family val="1"/>
      <scheme val="minor"/>
    </font>
    <font>
      <b/>
      <sz val="36"/>
      <color theme="1"/>
      <name val="Century Gothic"/>
      <family val="1"/>
      <scheme val="major"/>
    </font>
    <font>
      <b/>
      <sz val="16"/>
      <color theme="1"/>
      <name val="Century Gothic"/>
      <family val="1"/>
      <scheme val="major"/>
    </font>
    <font>
      <b/>
      <sz val="24"/>
      <color theme="1"/>
      <name val="Century Gothic"/>
      <family val="1"/>
      <scheme val="major"/>
    </font>
    <font>
      <sz val="14"/>
      <color theme="1"/>
      <name val="Century Gothic"/>
      <family val="1"/>
      <scheme val="major"/>
    </font>
    <font>
      <sz val="6"/>
      <name val="Yu Gothic"/>
      <family val="2"/>
      <charset val="128"/>
    </font>
    <font>
      <sz val="22"/>
      <color theme="2" tint="-0.249977111117893"/>
      <name val="Century Gothic"/>
      <family val="2"/>
      <scheme val="minor"/>
    </font>
    <font>
      <b/>
      <sz val="14"/>
      <color theme="1"/>
      <name val="Century Gothic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/>
      <top style="medium">
        <color theme="3" tint="0.39994506668294322"/>
      </top>
      <bottom style="medium">
        <color theme="3" tint="0.39994506668294322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theme="7"/>
      </bottom>
      <diagonal/>
    </border>
    <border>
      <left/>
      <right/>
      <top style="dashed">
        <color theme="7"/>
      </top>
      <bottom style="dashed">
        <color theme="7"/>
      </bottom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0"/>
      </top>
      <bottom/>
      <diagonal/>
    </border>
    <border>
      <left style="thin">
        <color theme="4" tint="0.59996337778862885"/>
      </left>
      <right/>
      <top style="thick">
        <color theme="0"/>
      </top>
      <bottom/>
      <diagonal/>
    </border>
    <border>
      <left style="thin">
        <color theme="4" tint="0.79998168889431442"/>
      </left>
      <right/>
      <top style="thick">
        <color theme="0"/>
      </top>
      <bottom/>
      <diagonal/>
    </border>
    <border>
      <left style="thin">
        <color theme="4" tint="0.79998168889431442"/>
      </left>
      <right/>
      <top/>
      <bottom/>
      <diagonal/>
    </border>
    <border>
      <left style="thin">
        <color theme="4" tint="0.59996337778862885"/>
      </left>
      <right/>
      <top/>
      <bottom style="thick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 tint="0.79998168889431442"/>
      </left>
      <right style="thin">
        <color theme="0" tint="-0.14999847407452621"/>
      </right>
      <top/>
      <bottom/>
      <diagonal/>
    </border>
    <border>
      <left/>
      <right/>
      <top style="thick">
        <color theme="3" tint="0.39997558519241921"/>
      </top>
      <bottom style="thin">
        <color rgb="FF000000"/>
      </bottom>
      <diagonal/>
    </border>
    <border>
      <left style="thin">
        <color theme="6" tint="0.79998168889431442"/>
      </left>
      <right/>
      <top/>
      <bottom/>
      <diagonal/>
    </border>
    <border>
      <left style="thin">
        <color theme="6" tint="0.79998168889431442"/>
      </left>
      <right/>
      <top/>
      <bottom style="thick">
        <color theme="4"/>
      </bottom>
      <diagonal/>
    </border>
  </borders>
  <cellStyleXfs count="11">
    <xf numFmtId="0" fontId="0" fillId="0" borderId="0"/>
    <xf numFmtId="164" fontId="2" fillId="0" borderId="0" applyFont="0" applyFill="0" applyBorder="0" applyProtection="0">
      <alignment horizontal="right" vertical="center" indent="1"/>
    </xf>
    <xf numFmtId="0" fontId="1" fillId="0" borderId="0"/>
    <xf numFmtId="0" fontId="3" fillId="0" borderId="0">
      <alignment horizontal="left" vertical="center" wrapText="1" indent="1"/>
    </xf>
    <xf numFmtId="0" fontId="4" fillId="3" borderId="1" applyNumberFormat="0" applyProtection="0">
      <alignment horizontal="center" vertical="center"/>
    </xf>
    <xf numFmtId="0" fontId="5" fillId="0" borderId="3" applyNumberFormat="0" applyFont="0" applyAlignment="0" applyProtection="0"/>
    <xf numFmtId="0" fontId="4" fillId="3" borderId="0" applyNumberFormat="0" applyBorder="0" applyProtection="0">
      <alignment horizontal="left" vertical="center" indent="1"/>
    </xf>
    <xf numFmtId="9" fontId="6" fillId="0" borderId="0" applyFont="0" applyFill="0" applyBorder="0" applyProtection="0">
      <alignment horizontal="center" vertical="center"/>
    </xf>
    <xf numFmtId="0" fontId="7" fillId="0" borderId="0" applyNumberFormat="0" applyFill="0" applyBorder="0" applyAlignment="0">
      <alignment horizontal="left" vertical="center" wrapText="1" indent="1"/>
    </xf>
    <xf numFmtId="0" fontId="8" fillId="2" borderId="4" applyNumberFormat="0" applyProtection="0">
      <alignment horizontal="left" vertical="center" indent="3"/>
    </xf>
    <xf numFmtId="0" fontId="4" fillId="5" borderId="2" applyNumberFormat="0" applyProtection="0">
      <alignment horizontal="center" vertical="center"/>
    </xf>
  </cellStyleXfs>
  <cellXfs count="82">
    <xf numFmtId="0" fontId="0" fillId="0" borderId="0" xfId="0"/>
    <xf numFmtId="0" fontId="9" fillId="0" borderId="0" xfId="3" applyNumberFormat="1" applyFont="1">
      <alignment horizontal="left" vertical="center" wrapText="1" indent="1"/>
    </xf>
    <xf numFmtId="0" fontId="15" fillId="0" borderId="7" xfId="10" applyNumberFormat="1" applyFont="1" applyFill="1" applyBorder="1" applyAlignment="1">
      <alignment horizontal="left" vertical="center"/>
    </xf>
    <xf numFmtId="0" fontId="10" fillId="0" borderId="7" xfId="9" applyNumberFormat="1" applyFont="1" applyFill="1" applyBorder="1">
      <alignment horizontal="left" vertical="center" indent="3"/>
    </xf>
    <xf numFmtId="0" fontId="10" fillId="0" borderId="0" xfId="9" applyNumberFormat="1" applyFont="1" applyFill="1" applyBorder="1" applyAlignment="1">
      <alignment horizontal="left" vertical="center" indent="1"/>
    </xf>
    <xf numFmtId="0" fontId="10" fillId="0" borderId="0" xfId="9" applyNumberFormat="1" applyFont="1" applyFill="1" applyBorder="1">
      <alignment horizontal="left" vertical="center" indent="3"/>
    </xf>
    <xf numFmtId="0" fontId="10" fillId="0" borderId="4" xfId="9" applyNumberFormat="1" applyFont="1" applyFill="1">
      <alignment horizontal="left" vertical="center" indent="3"/>
    </xf>
    <xf numFmtId="0" fontId="16" fillId="4" borderId="0" xfId="4" applyNumberFormat="1" applyFont="1" applyFill="1" applyBorder="1" applyAlignment="1">
      <alignment horizontal="left" vertical="center" indent="1"/>
    </xf>
    <xf numFmtId="0" fontId="12" fillId="4" borderId="0" xfId="4" applyNumberFormat="1" applyFont="1" applyFill="1" applyBorder="1" applyAlignment="1">
      <alignment horizontal="right" vertical="center" indent="1"/>
    </xf>
    <xf numFmtId="0" fontId="9" fillId="0" borderId="0" xfId="3" applyNumberFormat="1" applyFont="1" applyAlignment="1">
      <alignment horizontal="left" vertical="center" indent="19"/>
    </xf>
    <xf numFmtId="0" fontId="13" fillId="0" borderId="5" xfId="3" applyNumberFormat="1" applyFont="1" applyBorder="1" applyAlignment="1">
      <alignment horizontal="left" vertical="center" indent="1"/>
    </xf>
    <xf numFmtId="0" fontId="13" fillId="0" borderId="5" xfId="1" applyNumberFormat="1" applyFont="1" applyBorder="1">
      <alignment horizontal="right" vertical="center" indent="1"/>
    </xf>
    <xf numFmtId="0" fontId="13" fillId="0" borderId="6" xfId="5" applyNumberFormat="1" applyFont="1" applyBorder="1" applyAlignment="1">
      <alignment horizontal="left" vertical="center" indent="1"/>
    </xf>
    <xf numFmtId="0" fontId="13" fillId="0" borderId="6" xfId="1" applyNumberFormat="1" applyFont="1" applyBorder="1">
      <alignment horizontal="right" vertical="center" indent="1"/>
    </xf>
    <xf numFmtId="0" fontId="9" fillId="0" borderId="0" xfId="3" applyNumberFormat="1" applyFont="1" applyAlignment="1">
      <alignment horizontal="right" vertical="center" wrapText="1" indent="1"/>
    </xf>
    <xf numFmtId="0" fontId="11" fillId="4" borderId="0" xfId="1" applyNumberFormat="1" applyFont="1" applyFill="1" applyBorder="1">
      <alignment horizontal="right" vertical="center" indent="1"/>
    </xf>
    <xf numFmtId="0" fontId="17" fillId="0" borderId="0" xfId="10" applyNumberFormat="1" applyFont="1" applyFill="1" applyBorder="1" applyAlignment="1">
      <alignment horizontal="left" vertical="center"/>
    </xf>
    <xf numFmtId="0" fontId="14" fillId="0" borderId="0" xfId="10" applyNumberFormat="1" applyFont="1" applyFill="1" applyBorder="1" applyAlignment="1">
      <alignment vertical="center"/>
    </xf>
    <xf numFmtId="0" fontId="18" fillId="0" borderId="0" xfId="3" applyNumberFormat="1" applyFont="1" applyAlignment="1">
      <alignment horizontal="left" vertical="center" indent="1"/>
    </xf>
    <xf numFmtId="0" fontId="18" fillId="0" borderId="0" xfId="3" applyNumberFormat="1" applyFont="1">
      <alignment horizontal="left" vertical="center" wrapText="1" indent="1"/>
    </xf>
    <xf numFmtId="0" fontId="13" fillId="0" borderId="0" xfId="3" applyNumberFormat="1" applyFont="1">
      <alignment horizontal="left" vertical="center" wrapText="1" indent="1"/>
    </xf>
    <xf numFmtId="0" fontId="13" fillId="0" borderId="0" xfId="0" applyNumberFormat="1" applyFont="1" applyAlignment="1">
      <alignment horizontal="left" vertical="center" wrapText="1" indent="1"/>
    </xf>
    <xf numFmtId="0" fontId="13" fillId="0" borderId="0" xfId="0" applyNumberFormat="1" applyFont="1" applyFill="1" applyAlignment="1">
      <alignment horizontal="left" vertical="center" indent="1"/>
    </xf>
    <xf numFmtId="0" fontId="9" fillId="0" borderId="0" xfId="3" applyNumberFormat="1" applyFont="1" applyAlignment="1">
      <alignment horizontal="center" vertical="center" wrapText="1" indent="1"/>
    </xf>
    <xf numFmtId="0" fontId="0" fillId="0" borderId="0" xfId="0" applyBorder="1"/>
    <xf numFmtId="0" fontId="20" fillId="0" borderId="0" xfId="0" applyFont="1" applyBorder="1" applyAlignment="1">
      <alignment vertical="center"/>
    </xf>
    <xf numFmtId="164" fontId="9" fillId="0" borderId="0" xfId="3" applyNumberFormat="1" applyFont="1" applyAlignment="1">
      <alignment horizontal="right" vertical="center" wrapText="1" indent="1"/>
    </xf>
    <xf numFmtId="10" fontId="11" fillId="4" borderId="0" xfId="7" applyNumberFormat="1" applyFont="1" applyFill="1" applyBorder="1" applyAlignment="1">
      <alignment horizontal="right" vertical="center" indent="1"/>
    </xf>
    <xf numFmtId="0" fontId="21" fillId="4" borderId="0" xfId="4" applyNumberFormat="1" applyFont="1" applyFill="1" applyBorder="1" applyAlignment="1">
      <alignment horizontal="left" vertical="center" indent="1"/>
    </xf>
    <xf numFmtId="10" fontId="9" fillId="0" borderId="0" xfId="3" applyNumberFormat="1" applyFont="1">
      <alignment horizontal="left" vertical="center" wrapText="1" indent="1"/>
    </xf>
    <xf numFmtId="0" fontId="13" fillId="0" borderId="0" xfId="1" applyNumberFormat="1" applyFont="1" applyFill="1" applyBorder="1" applyAlignment="1">
      <alignment horizontal="center" vertical="center" indent="1"/>
    </xf>
    <xf numFmtId="0" fontId="13" fillId="0" borderId="0" xfId="3" applyNumberFormat="1" applyFont="1" applyAlignment="1">
      <alignment horizontal="center" vertical="center" wrapText="1" indent="1"/>
    </xf>
    <xf numFmtId="0" fontId="13" fillId="0" borderId="0" xfId="3" applyNumberFormat="1" applyFont="1" applyFill="1" applyAlignment="1">
      <alignment horizontal="center" vertical="center" wrapText="1" indent="1"/>
    </xf>
    <xf numFmtId="0" fontId="13" fillId="0" borderId="0" xfId="0" applyNumberFormat="1" applyFont="1" applyAlignment="1">
      <alignment horizontal="center" vertical="center" indent="1"/>
    </xf>
    <xf numFmtId="0" fontId="21" fillId="4" borderId="8" xfId="3" applyNumberFormat="1" applyFont="1" applyFill="1" applyBorder="1" applyAlignment="1">
      <alignment horizontal="left" vertical="center" indent="1"/>
    </xf>
    <xf numFmtId="0" fontId="21" fillId="4" borderId="9" xfId="3" applyNumberFormat="1" applyFont="1" applyFill="1" applyBorder="1" applyAlignment="1">
      <alignment horizontal="left" vertical="center" indent="1"/>
    </xf>
    <xf numFmtId="0" fontId="21" fillId="4" borderId="9" xfId="3" applyNumberFormat="1" applyFont="1" applyFill="1" applyBorder="1" applyAlignment="1">
      <alignment horizontal="left" vertical="center" wrapText="1" indent="1"/>
    </xf>
    <xf numFmtId="0" fontId="13" fillId="6" borderId="8" xfId="0" applyNumberFormat="1" applyFont="1" applyFill="1" applyBorder="1" applyAlignment="1">
      <alignment horizontal="left" vertical="center" indent="1"/>
    </xf>
    <xf numFmtId="0" fontId="13" fillId="6" borderId="10" xfId="1" applyNumberFormat="1" applyFont="1" applyFill="1" applyBorder="1" applyAlignment="1">
      <alignment horizontal="center" vertical="center" indent="1"/>
    </xf>
    <xf numFmtId="0" fontId="13" fillId="6" borderId="10" xfId="3" applyNumberFormat="1" applyFont="1" applyFill="1" applyBorder="1" applyAlignment="1">
      <alignment horizontal="center" vertical="center" wrapText="1" indent="1"/>
    </xf>
    <xf numFmtId="0" fontId="13" fillId="0" borderId="0" xfId="3" applyNumberFormat="1" applyFont="1" applyBorder="1" applyAlignment="1">
      <alignment horizontal="left" vertical="center" wrapText="1" indent="1"/>
    </xf>
    <xf numFmtId="0" fontId="13" fillId="0" borderId="11" xfId="1" applyNumberFormat="1" applyFont="1" applyBorder="1" applyAlignment="1">
      <alignment horizontal="center" vertical="center" indent="1"/>
    </xf>
    <xf numFmtId="0" fontId="13" fillId="0" borderId="11" xfId="3" applyNumberFormat="1" applyFont="1" applyBorder="1" applyAlignment="1">
      <alignment horizontal="center" vertical="center" wrapText="1" indent="1"/>
    </xf>
    <xf numFmtId="0" fontId="13" fillId="6" borderId="0" xfId="3" applyNumberFormat="1" applyFont="1" applyFill="1" applyBorder="1" applyAlignment="1">
      <alignment horizontal="left" vertical="center" wrapText="1" indent="1"/>
    </xf>
    <xf numFmtId="0" fontId="13" fillId="6" borderId="11" xfId="1" applyNumberFormat="1" applyFont="1" applyFill="1" applyBorder="1" applyAlignment="1">
      <alignment horizontal="center" vertical="center" indent="1"/>
    </xf>
    <xf numFmtId="0" fontId="13" fillId="6" borderId="11" xfId="3" applyNumberFormat="1" applyFont="1" applyFill="1" applyBorder="1" applyAlignment="1">
      <alignment horizontal="center" vertical="center" wrapText="1" indent="1"/>
    </xf>
    <xf numFmtId="0" fontId="13" fillId="6" borderId="0" xfId="0" applyNumberFormat="1" applyFont="1" applyFill="1" applyBorder="1" applyAlignment="1">
      <alignment horizontal="left" vertical="center" indent="1"/>
    </xf>
    <xf numFmtId="0" fontId="13" fillId="0" borderId="0" xfId="0" applyNumberFormat="1" applyFont="1" applyBorder="1" applyAlignment="1">
      <alignment horizontal="left" vertical="center" indent="1"/>
    </xf>
    <xf numFmtId="0" fontId="12" fillId="4" borderId="7" xfId="0" applyNumberFormat="1" applyFont="1" applyFill="1" applyBorder="1" applyAlignment="1">
      <alignment horizontal="left" vertical="center" wrapText="1" indent="1"/>
    </xf>
    <xf numFmtId="0" fontId="12" fillId="4" borderId="12" xfId="0" applyNumberFormat="1" applyFont="1" applyFill="1" applyBorder="1" applyAlignment="1">
      <alignment horizontal="left" vertical="center" indent="1"/>
    </xf>
    <xf numFmtId="1" fontId="9" fillId="0" borderId="0" xfId="3" applyNumberFormat="1" applyFont="1">
      <alignment horizontal="left" vertical="center" wrapText="1" indent="1"/>
    </xf>
    <xf numFmtId="1" fontId="10" fillId="0" borderId="7" xfId="9" applyNumberFormat="1" applyFont="1" applyFill="1" applyBorder="1">
      <alignment horizontal="left" vertical="center" indent="3"/>
    </xf>
    <xf numFmtId="1" fontId="10" fillId="0" borderId="4" xfId="9" applyNumberFormat="1" applyFont="1" applyFill="1">
      <alignment horizontal="left" vertical="center" indent="3"/>
    </xf>
    <xf numFmtId="1" fontId="14" fillId="0" borderId="0" xfId="10" applyNumberFormat="1" applyFont="1" applyFill="1" applyBorder="1" applyAlignment="1">
      <alignment vertical="center"/>
    </xf>
    <xf numFmtId="1" fontId="18" fillId="0" borderId="0" xfId="3" applyNumberFormat="1" applyFont="1">
      <alignment horizontal="left" vertical="center" wrapText="1" indent="1"/>
    </xf>
    <xf numFmtId="1" fontId="13" fillId="0" borderId="0" xfId="1" applyNumberFormat="1" applyFont="1" applyFill="1" applyBorder="1" applyAlignment="1">
      <alignment horizontal="center" vertical="center" indent="1"/>
    </xf>
    <xf numFmtId="1" fontId="13" fillId="0" borderId="0" xfId="0" applyNumberFormat="1" applyFont="1" applyAlignment="1">
      <alignment horizontal="center" vertical="center" indent="1"/>
    </xf>
    <xf numFmtId="1" fontId="21" fillId="4" borderId="9" xfId="3" applyNumberFormat="1" applyFont="1" applyFill="1" applyBorder="1" applyAlignment="1">
      <alignment horizontal="left" vertical="center" wrapText="1" indent="1"/>
    </xf>
    <xf numFmtId="1" fontId="13" fillId="6" borderId="10" xfId="1" applyNumberFormat="1" applyFont="1" applyFill="1" applyBorder="1" applyAlignment="1">
      <alignment horizontal="center" vertical="center" indent="1"/>
    </xf>
    <xf numFmtId="1" fontId="13" fillId="0" borderId="11" xfId="1" applyNumberFormat="1" applyFont="1" applyBorder="1" applyAlignment="1">
      <alignment horizontal="center" vertical="center" indent="1"/>
    </xf>
    <xf numFmtId="1" fontId="13" fillId="6" borderId="11" xfId="1" applyNumberFormat="1" applyFont="1" applyFill="1" applyBorder="1" applyAlignment="1">
      <alignment horizontal="center" vertical="center" indent="1"/>
    </xf>
    <xf numFmtId="0" fontId="9" fillId="0" borderId="0" xfId="3" applyNumberFormat="1" applyFont="1" applyFill="1">
      <alignment horizontal="left" vertical="center" wrapText="1" indent="1"/>
    </xf>
    <xf numFmtId="0" fontId="12" fillId="0" borderId="0" xfId="0" applyNumberFormat="1" applyFont="1" applyFill="1" applyBorder="1" applyAlignment="1">
      <alignment horizontal="left" vertical="center" wrapText="1" indent="1"/>
    </xf>
    <xf numFmtId="0" fontId="12" fillId="0" borderId="0" xfId="0" applyNumberFormat="1" applyFont="1" applyFill="1" applyBorder="1" applyAlignment="1">
      <alignment horizontal="left" vertical="center" indent="1"/>
    </xf>
    <xf numFmtId="0" fontId="12" fillId="4" borderId="13" xfId="0" applyNumberFormat="1" applyFont="1" applyFill="1" applyBorder="1" applyAlignment="1">
      <alignment horizontal="left" vertical="center" wrapText="1" indent="1"/>
    </xf>
    <xf numFmtId="0" fontId="12" fillId="4" borderId="13" xfId="0" applyNumberFormat="1" applyFont="1" applyFill="1" applyBorder="1" applyAlignment="1">
      <alignment horizontal="left" vertical="center" indent="1"/>
    </xf>
    <xf numFmtId="0" fontId="9" fillId="0" borderId="13" xfId="3" applyNumberFormat="1" applyFont="1" applyBorder="1">
      <alignment horizontal="left" vertical="center" wrapText="1" indent="1"/>
    </xf>
    <xf numFmtId="0" fontId="13" fillId="6" borderId="11" xfId="3" applyFont="1" applyFill="1" applyBorder="1" applyAlignment="1">
      <alignment horizontal="center" vertical="center" wrapText="1" indent="1"/>
    </xf>
    <xf numFmtId="1" fontId="12" fillId="4" borderId="13" xfId="0" applyNumberFormat="1" applyFont="1" applyFill="1" applyBorder="1" applyAlignment="1">
      <alignment horizontal="left" vertical="center" indent="1"/>
    </xf>
    <xf numFmtId="1" fontId="13" fillId="6" borderId="0" xfId="1" applyNumberFormat="1" applyFont="1" applyFill="1" applyBorder="1" applyAlignment="1">
      <alignment horizontal="center" vertical="center" indent="1"/>
    </xf>
    <xf numFmtId="0" fontId="13" fillId="6" borderId="14" xfId="3" applyNumberFormat="1" applyFont="1" applyFill="1" applyBorder="1" applyAlignment="1">
      <alignment horizontal="center" vertical="center" wrapText="1" indent="1"/>
    </xf>
    <xf numFmtId="0" fontId="9" fillId="7" borderId="0" xfId="3" applyNumberFormat="1" applyFont="1" applyFill="1">
      <alignment horizontal="left" vertical="center" wrapText="1" indent="1"/>
    </xf>
    <xf numFmtId="0" fontId="12" fillId="0" borderId="15" xfId="0" applyNumberFormat="1" applyFont="1" applyFill="1" applyBorder="1" applyAlignment="1">
      <alignment horizontal="left" vertical="center" indent="1"/>
    </xf>
    <xf numFmtId="0" fontId="9" fillId="0" borderId="0" xfId="3" applyNumberFormat="1" applyFont="1" applyBorder="1">
      <alignment horizontal="left" vertical="center" wrapText="1" indent="1"/>
    </xf>
    <xf numFmtId="0" fontId="13" fillId="7" borderId="0" xfId="3" applyNumberFormat="1" applyFont="1" applyFill="1" applyBorder="1" applyAlignment="1">
      <alignment horizontal="left" vertical="center" wrapText="1" indent="1"/>
    </xf>
    <xf numFmtId="0" fontId="12" fillId="4" borderId="16" xfId="0" applyNumberFormat="1" applyFont="1" applyFill="1" applyBorder="1" applyAlignment="1">
      <alignment horizontal="left" vertical="center" indent="1"/>
    </xf>
    <xf numFmtId="0" fontId="12" fillId="4" borderId="17" xfId="0" applyNumberFormat="1" applyFont="1" applyFill="1" applyBorder="1" applyAlignment="1">
      <alignment horizontal="left" vertical="center" indent="1"/>
    </xf>
    <xf numFmtId="0" fontId="13" fillId="7" borderId="16" xfId="1" applyNumberFormat="1" applyFont="1" applyFill="1" applyBorder="1" applyAlignment="1">
      <alignment horizontal="center" vertical="center" indent="1"/>
    </xf>
    <xf numFmtId="0" fontId="13" fillId="7" borderId="16" xfId="3" applyNumberFormat="1" applyFont="1" applyFill="1" applyBorder="1" applyAlignment="1">
      <alignment horizontal="center" vertical="center" wrapText="1" indent="1"/>
    </xf>
    <xf numFmtId="1" fontId="13" fillId="7" borderId="16" xfId="1" applyNumberFormat="1" applyFont="1" applyFill="1" applyBorder="1" applyAlignment="1">
      <alignment horizontal="center" vertical="center" indent="1"/>
    </xf>
    <xf numFmtId="0" fontId="9" fillId="0" borderId="13" xfId="3" applyNumberFormat="1" applyFont="1" applyBorder="1" applyAlignment="1">
      <alignment horizontal="center" vertical="center" wrapText="1" indent="1"/>
    </xf>
    <xf numFmtId="0" fontId="9" fillId="0" borderId="13" xfId="3" applyNumberFormat="1" applyFont="1" applyBorder="1" applyAlignment="1">
      <alignment horizontal="center" vertical="center" wrapText="1" indent="1"/>
    </xf>
  </cellXfs>
  <cellStyles count="11">
    <cellStyle name="Currency" xfId="1" builtinId="4"/>
    <cellStyle name="Heading 1 2" xfId="10" xr:uid="{00000000-0005-0000-0000-000001000000}"/>
    <cellStyle name="Heading 2 2" xfId="4" xr:uid="{00000000-0005-0000-0000-000002000000}"/>
    <cellStyle name="Heading 3 2" xfId="6" xr:uid="{00000000-0005-0000-0000-000003000000}"/>
    <cellStyle name="Input 2" xfId="5" xr:uid="{00000000-0005-0000-0000-000005000000}"/>
    <cellStyle name="Normal" xfId="0" builtinId="0"/>
    <cellStyle name="Normal 2" xfId="2" xr:uid="{00000000-0005-0000-0000-000007000000}"/>
    <cellStyle name="Normal 3" xfId="3" xr:uid="{00000000-0005-0000-0000-000008000000}"/>
    <cellStyle name="Percent 2" xfId="7" xr:uid="{00000000-0005-0000-0000-000009000000}"/>
    <cellStyle name="Title 2" xfId="9" xr:uid="{00000000-0005-0000-0000-00000A000000}"/>
    <cellStyle name="Year" xfId="8" xr:uid="{00000000-0005-0000-0000-00000B000000}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" formatCode="0"/>
      <alignment horizontal="center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0" formatCode="General"/>
      <alignment horizontal="center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scheme val="minor"/>
      </font>
      <numFmt numFmtId="0" formatCode="General"/>
      <alignment horizontal="center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0" formatCode="General"/>
      <alignment horizontal="center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scheme val="minor"/>
      </font>
      <numFmt numFmtId="0" formatCode="General"/>
      <alignment horizontal="center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0" formatCode="General"/>
      <alignment horizontal="center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scheme val="minor"/>
      </font>
      <numFmt numFmtId="0" formatCode="General"/>
      <alignment horizontal="center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0" formatCode="General"/>
      <alignment horizontal="center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scheme val="minor"/>
      </font>
      <numFmt numFmtId="0" formatCode="General"/>
      <alignment horizontal="center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0" formatCode="General"/>
      <alignment horizontal="center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scheme val="minor"/>
      </font>
      <numFmt numFmtId="0" formatCode="General"/>
      <alignment horizontal="center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0" formatCode="General"/>
      <alignment horizontal="center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scheme val="minor"/>
      </font>
      <numFmt numFmtId="0" formatCode="General"/>
      <alignment horizontal="center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0" formatCode="General"/>
      <alignment horizontal="center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scheme val="minor"/>
      </font>
      <numFmt numFmtId="0" formatCode="General"/>
      <alignment horizontal="center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0" formatCode="General"/>
      <alignment horizontal="center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scheme val="minor"/>
      </font>
      <numFmt numFmtId="0" formatCode="General"/>
      <alignment horizontal="center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0" formatCode="General"/>
      <alignment horizontal="center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0" formatCode="General"/>
      <alignment horizontal="center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0" formatCode="General"/>
      <alignment horizontal="center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0" formatCode="General"/>
      <alignment horizontal="center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0" formatCode="General"/>
      <alignment horizontal="left" vertical="center" textRotation="0" wrapText="1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scheme val="minor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scheme val="minor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scheme val="major"/>
      </font>
      <numFmt numFmtId="0" formatCode="General"/>
      <fill>
        <patternFill patternType="solid">
          <fgColor theme="5" tint="0.39994506668294322"/>
          <bgColor indexed="64"/>
        </patternFill>
      </fill>
    </dxf>
    <dxf>
      <fill>
        <patternFill patternType="none">
          <bgColor auto="1"/>
        </patternFill>
      </fill>
      <border>
        <top style="dotted">
          <color theme="5"/>
        </top>
        <bottom style="dotted">
          <color theme="5"/>
        </bottom>
        <horizontal style="dotted">
          <color theme="5"/>
        </horizontal>
      </border>
    </dxf>
    <dxf>
      <font>
        <color theme="0" tint="-4.9989318521683403E-2"/>
      </font>
      <fill>
        <patternFill>
          <bgColor theme="4" tint="0.79998168889431442"/>
        </patternFill>
      </fill>
      <border>
        <top/>
      </border>
    </dxf>
    <dxf>
      <font>
        <b/>
        <i val="0"/>
        <color theme="1"/>
      </font>
      <fill>
        <patternFill>
          <bgColor theme="4" tint="0.79998168889431442"/>
        </patternFill>
      </fill>
      <border diagonalUp="0" diagonalDown="0">
        <left/>
        <right/>
        <top style="thick">
          <color theme="0"/>
        </top>
        <bottom style="thick">
          <color theme="0"/>
        </bottom>
        <vertical/>
        <horizontal/>
      </border>
    </dxf>
    <dxf>
      <border>
        <bottom style="medium">
          <color theme="7"/>
        </bottom>
      </border>
    </dxf>
    <dxf>
      <fill>
        <patternFill>
          <bgColor theme="0" tint="-4.9989318521683403E-2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  <border>
        <top/>
        <bottom style="thick">
          <color theme="4"/>
        </bottom>
        <vertical style="thin">
          <color theme="4" tint="0.59996337778862885"/>
        </vertical>
      </border>
    </dxf>
    <dxf>
      <font>
        <b/>
        <i val="0"/>
        <color theme="1"/>
      </font>
      <fill>
        <patternFill>
          <bgColor theme="4" tint="0.79998168889431442"/>
        </patternFill>
      </fill>
      <border diagonalUp="0" diagonalDown="0">
        <left/>
        <right/>
        <top style="thick">
          <color theme="0"/>
        </top>
        <bottom style="thick">
          <color theme="0"/>
        </bottom>
        <vertical style="thin">
          <color theme="4" tint="0.59996337778862885"/>
        </vertical>
        <horizontal/>
      </border>
    </dxf>
    <dxf>
      <border>
        <left/>
        <bottom style="medium">
          <color theme="4"/>
        </bottom>
        <vertical style="thin">
          <color theme="4" tint="0.79998168889431442"/>
        </vertical>
      </border>
    </dxf>
  </dxfs>
  <tableStyles count="2" defaultTableStyle="TableStyleMedium2" defaultPivotStyle="PivotStyleLight16">
    <tableStyle name="Simple Monthly Budget 2" pivot="0" count="4" xr9:uid="{00000000-0011-0000-FFFF-FFFF00000000}">
      <tableStyleElement type="wholeTable" dxfId="38"/>
      <tableStyleElement type="headerRow" dxfId="37"/>
      <tableStyleElement type="totalRow" dxfId="36"/>
      <tableStyleElement type="firstRowStripe" dxfId="35"/>
    </tableStyle>
    <tableStyle name="Simple Monthly Budget 2 2" pivot="0" count="4" xr9:uid="{00000000-0011-0000-FFFF-FFFF01000000}">
      <tableStyleElement type="wholeTable" dxfId="34"/>
      <tableStyleElement type="headerRow" dxfId="33"/>
      <tableStyleElement type="totalRow" dxfId="32"/>
      <tableStyleElement type="firstRowStripe" dxfId="3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 /><Relationship Id="rId3" Type="http://schemas.openxmlformats.org/officeDocument/2006/relationships/styles" Target="styles.xml" /><Relationship Id="rId7" Type="http://schemas.openxmlformats.org/officeDocument/2006/relationships/customXml" Target="../customXml/item2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by month'!$A$12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('Budget by month'!$B$13:$M$13,'Budget by month'!$B$13:$M$13,'Budget by month'!$B$13:$L$13)</c:f>
              <c:strCache>
                <c:ptCount val="3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</c:strCache>
            </c:strRef>
          </c:cat>
          <c:val>
            <c:numRef>
              <c:f>'Budget by month'!$B$19:$M$19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2D-4C4B-A2D4-DB7D19A4544A}"/>
            </c:ext>
          </c:extLst>
        </c:ser>
        <c:ser>
          <c:idx val="1"/>
          <c:order val="1"/>
          <c:tx>
            <c:strRef>
              <c:f>'Budget by month'!$A$21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('Budget by month'!$B$13:$M$13,'Budget by month'!$B$13:$M$13,'Budget by month'!$B$13:$L$13)</c:f>
              <c:strCache>
                <c:ptCount val="3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</c:strCache>
            </c:strRef>
          </c:cat>
          <c:val>
            <c:numRef>
              <c:f>'Budget by month'!$B$45:$M$45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2D-4C4B-A2D4-DB7D19A454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124757727"/>
        <c:axId val="1132187055"/>
      </c:barChart>
      <c:catAx>
        <c:axId val="112475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87055"/>
        <c:crosses val="autoZero"/>
        <c:auto val="1"/>
        <c:lblAlgn val="ctr"/>
        <c:lblOffset val="100"/>
        <c:noMultiLvlLbl val="0"/>
      </c:catAx>
      <c:valAx>
        <c:axId val="1132187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75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tx1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latin typeface="+mj-lt"/>
              </a:rPr>
              <a:t>Total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by month'!$N$22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'Budget by month'!$A$23:$A$45</c:f>
              <c:strCache>
                <c:ptCount val="23"/>
                <c:pt idx="0">
                  <c:v>Beating</c:v>
                </c:pt>
                <c:pt idx="1">
                  <c:v>Bekari/Shop</c:v>
                </c:pt>
                <c:pt idx="2">
                  <c:v>Bike </c:v>
                </c:pt>
                <c:pt idx="3">
                  <c:v>Chiti</c:v>
                </c:pt>
                <c:pt idx="4">
                  <c:v>Credit Card</c:v>
                </c:pt>
                <c:pt idx="5">
                  <c:v>Debt</c:v>
                </c:pt>
                <c:pt idx="6">
                  <c:v>Entertainment</c:v>
                </c:pt>
                <c:pt idx="7">
                  <c:v>Gifts</c:v>
                </c:pt>
                <c:pt idx="8">
                  <c:v>Groceries/vegtables</c:v>
                </c:pt>
                <c:pt idx="9">
                  <c:v>Health</c:v>
                </c:pt>
                <c:pt idx="10">
                  <c:v>Home</c:v>
                </c:pt>
                <c:pt idx="11">
                  <c:v>Hotel/Daba</c:v>
                </c:pt>
                <c:pt idx="12">
                  <c:v>Insurance</c:v>
                </c:pt>
                <c:pt idx="13">
                  <c:v>Loan</c:v>
                </c:pt>
                <c:pt idx="14">
                  <c:v>Other</c:v>
                </c:pt>
                <c:pt idx="15">
                  <c:v>Petrol/Diesel </c:v>
                </c:pt>
                <c:pt idx="16">
                  <c:v>Parking</c:v>
                </c:pt>
                <c:pt idx="17">
                  <c:v>Recharge</c:v>
                </c:pt>
                <c:pt idx="18">
                  <c:v>Saloon</c:v>
                </c:pt>
                <c:pt idx="19">
                  <c:v>Shopping</c:v>
                </c:pt>
                <c:pt idx="20">
                  <c:v>Travel</c:v>
                </c:pt>
                <c:pt idx="21">
                  <c:v>Trip</c:v>
                </c:pt>
                <c:pt idx="22">
                  <c:v>Total</c:v>
                </c:pt>
              </c:strCache>
            </c:strRef>
          </c:cat>
          <c:val>
            <c:numRef>
              <c:f>'Budget by month'!$N$23:$N$45</c:f>
              <c:numCache>
                <c:formatCode>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3-45C3-BE49-EFB7C8CAA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1081865903"/>
        <c:axId val="1109733487"/>
      </c:barChart>
      <c:catAx>
        <c:axId val="10818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733487"/>
        <c:crosses val="autoZero"/>
        <c:auto val="1"/>
        <c:lblAlgn val="ctr"/>
        <c:lblOffset val="100"/>
        <c:noMultiLvlLbl val="0"/>
      </c:catAx>
      <c:valAx>
        <c:axId val="110973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86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1000" b="1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ChartData</c:v>
          </c:tx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AF9B-4DAA-8F07-13A1DB6B1714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AF9B-4DAA-8F07-13A1DB6B1714}"/>
              </c:ext>
            </c:extLst>
          </c:dPt>
          <c:dLbls>
            <c:numFmt formatCode="&quot;$&quot;#,##0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'Budget by month'!$B$5:$B$6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9B-4DAA-8F07-13A1DB6B17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7"/>
        <c:axId val="539195768"/>
        <c:axId val="539196160"/>
      </c:barChart>
      <c:catAx>
        <c:axId val="5391957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chemeClr val="tx1">
                <a:lumMod val="85000"/>
                <a:lumOff val="15000"/>
              </a:schemeClr>
            </a:solidFill>
          </a:ln>
        </c:spPr>
        <c:crossAx val="539196160"/>
        <c:crosses val="autoZero"/>
        <c:auto val="1"/>
        <c:lblAlgn val="ctr"/>
        <c:lblOffset val="80"/>
        <c:noMultiLvlLbl val="0"/>
      </c:catAx>
      <c:valAx>
        <c:axId val="539196160"/>
        <c:scaling>
          <c:orientation val="minMax"/>
          <c:min val="0"/>
        </c:scaling>
        <c:delete val="0"/>
        <c:axPos val="l"/>
        <c:numFmt formatCode="&quot;$&quot;#,##0" sourceLinked="0"/>
        <c:majorTickMark val="in"/>
        <c:minorTickMark val="none"/>
        <c:tickLblPos val="nextTo"/>
        <c:spPr>
          <a:ln>
            <a:solidFill>
              <a:schemeClr val="tx1">
                <a:lumMod val="85000"/>
                <a:lumOff val="15000"/>
              </a:schemeClr>
            </a:solidFill>
          </a:ln>
        </c:spPr>
        <c:crossAx val="539195768"/>
        <c:crosses val="autoZero"/>
        <c:crossBetween val="between"/>
        <c:minorUnit val="500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b="1">
          <a:solidFill>
            <a:schemeClr val="tx1">
              <a:lumMod val="85000"/>
              <a:lumOff val="15000"/>
            </a:schemeClr>
          </a:solidFill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48</xdr:row>
      <xdr:rowOff>286251</xdr:rowOff>
    </xdr:from>
    <xdr:to>
      <xdr:col>6</xdr:col>
      <xdr:colOff>6007</xdr:colOff>
      <xdr:row>68</xdr:row>
      <xdr:rowOff>175203</xdr:rowOff>
    </xdr:to>
    <xdr:graphicFrame macro="">
      <xdr:nvGraphicFramePr>
        <xdr:cNvPr id="25" name="Chart 1" descr="Income and expenses by month chart">
          <a:extLst>
            <a:ext uri="{FF2B5EF4-FFF2-40B4-BE49-F238E27FC236}">
              <a16:creationId xmlns:a16="http://schemas.microsoft.com/office/drawing/2014/main" id="{9E68B60A-84EF-4C5C-A136-32C6442205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13031</xdr:colOff>
      <xdr:row>48</xdr:row>
      <xdr:rowOff>0</xdr:rowOff>
    </xdr:from>
    <xdr:to>
      <xdr:col>16</xdr:col>
      <xdr:colOff>0</xdr:colOff>
      <xdr:row>68</xdr:row>
      <xdr:rowOff>92660</xdr:rowOff>
    </xdr:to>
    <xdr:graphicFrame macro="">
      <xdr:nvGraphicFramePr>
        <xdr:cNvPr id="4" name="Chart 2" descr="Total expenses chart">
          <a:extLst>
            <a:ext uri="{FF2B5EF4-FFF2-40B4-BE49-F238E27FC236}">
              <a16:creationId xmlns:a16="http://schemas.microsoft.com/office/drawing/2014/main" id="{C35D2FC9-37D4-41E2-AA8F-BB8EB655FD80}"/>
            </a:ext>
            <a:ext uri="{147F2762-F138-4A5C-976F-8EAC2B608ADB}">
              <a16:predDERef xmlns:a16="http://schemas.microsoft.com/office/drawing/2014/main" pred="{9E68B60A-84EF-4C5C-A136-32C6442205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206829</xdr:colOff>
      <xdr:row>3</xdr:row>
      <xdr:rowOff>21772</xdr:rowOff>
    </xdr:from>
    <xdr:to>
      <xdr:col>7</xdr:col>
      <xdr:colOff>190683</xdr:colOff>
      <xdr:row>11</xdr:row>
      <xdr:rowOff>194154</xdr:rowOff>
    </xdr:to>
    <xdr:graphicFrame macro="">
      <xdr:nvGraphicFramePr>
        <xdr:cNvPr id="6" name="IncomeAndExpenses" descr="Clustered column chart showing Total Monthly Income and Total Monthly Expenses">
          <a:extLst>
            <a:ext uri="{FF2B5EF4-FFF2-40B4-BE49-F238E27FC236}">
              <a16:creationId xmlns:a16="http://schemas.microsoft.com/office/drawing/2014/main" id="{AB3DAE40-2899-4166-A34C-AB6035A00B73}"/>
            </a:ext>
            <a:ext uri="{147F2762-F138-4A5C-976F-8EAC2B608ADB}">
              <a16:predDERef xmlns:a16="http://schemas.microsoft.com/office/drawing/2014/main" pred="{C35D2FC9-37D4-41E2-AA8F-BB8EB655FD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come" displayName="Income" ref="A13:N19" totalsRowCount="1" headerRowDxfId="30" dataDxfId="29" totalsRowDxfId="28">
  <autoFilter ref="A13:N18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000-000001000000}" name="Item" totalsRowLabel="Total" dataDxfId="27" totalsRowDxfId="26" dataCellStyle="Normal"/>
    <tableColumn id="2" xr3:uid="{00000000-0010-0000-0000-000002000000}" name="Jan" totalsRowFunction="sum" dataDxfId="25" totalsRowDxfId="24" dataCellStyle="Currency"/>
    <tableColumn id="3" xr3:uid="{00000000-0010-0000-0000-000003000000}" name="Feb" totalsRowFunction="sum" dataDxfId="23" totalsRowDxfId="22"/>
    <tableColumn id="4" xr3:uid="{00000000-0010-0000-0000-000004000000}" name="Mar" totalsRowFunction="sum" dataDxfId="21" totalsRowDxfId="20"/>
    <tableColumn id="5" xr3:uid="{00000000-0010-0000-0000-000005000000}" name="Apr" totalsRowFunction="sum" dataDxfId="19" totalsRowDxfId="18"/>
    <tableColumn id="6" xr3:uid="{00000000-0010-0000-0000-000006000000}" name="May" totalsRowFunction="sum" dataDxfId="17" totalsRowDxfId="16"/>
    <tableColumn id="7" xr3:uid="{00000000-0010-0000-0000-000007000000}" name="Jun" totalsRowFunction="sum" dataDxfId="15" totalsRowDxfId="14"/>
    <tableColumn id="8" xr3:uid="{00000000-0010-0000-0000-000008000000}" name="Jul" totalsRowFunction="sum" dataDxfId="13" totalsRowDxfId="12"/>
    <tableColumn id="9" xr3:uid="{00000000-0010-0000-0000-000009000000}" name="Aug" totalsRowFunction="sum" dataDxfId="11" totalsRowDxfId="10"/>
    <tableColumn id="10" xr3:uid="{00000000-0010-0000-0000-00000A000000}" name="Sep" totalsRowFunction="sum" dataDxfId="9" totalsRowDxfId="8"/>
    <tableColumn id="11" xr3:uid="{00000000-0010-0000-0000-00000B000000}" name="Oct" totalsRowFunction="sum" dataDxfId="7" totalsRowDxfId="6"/>
    <tableColumn id="12" xr3:uid="{00000000-0010-0000-0000-00000C000000}" name="Nov" totalsRowFunction="sum" dataDxfId="5" totalsRowDxfId="4"/>
    <tableColumn id="13" xr3:uid="{00000000-0010-0000-0000-00000D000000}" name="Dec" totalsRowFunction="sum" dataDxfId="3" totalsRowDxfId="2"/>
    <tableColumn id="14" xr3:uid="{00000000-0010-0000-0000-00000E000000}" name="Total" totalsRowFunction="sum" dataDxfId="1" totalsRowDxfId="0" dataCellStyle="Currency">
      <calculatedColumnFormula>SUM(Income[[#This Row],[Jan]:[Dec]])</calculatedColumnFormula>
    </tableColumn>
  </tableColumns>
  <tableStyleInfo name="Simple Monthly Budget 2" showFirstColumn="0" showLastColumn="0" showRowStripes="1" showColumnStripes="0"/>
  <extLst>
    <ext xmlns:x14="http://schemas.microsoft.com/office/spreadsheetml/2009/9/main" uri="{504A1905-F514-4f6f-8877-14C23A59335A}">
      <x14:table altTextSummary="Enter Monthly Income Items and corresponding Amounts in this table"/>
    </ext>
  </extLst>
</table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ustom 40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5" Type="http://schemas.openxmlformats.org/officeDocument/2006/relationships/comments" Target="../comments1.xml" /><Relationship Id="rId4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  <pageSetUpPr fitToPage="1"/>
  </sheetPr>
  <dimension ref="A1:V82"/>
  <sheetViews>
    <sheetView showGridLines="0" tabSelected="1" topLeftCell="A2" zoomScale="60" zoomScaleNormal="60" workbookViewId="0">
      <selection activeCell="G26" sqref="G26"/>
    </sheetView>
  </sheetViews>
  <sheetFormatPr defaultColWidth="8.85546875" defaultRowHeight="16.5" customHeight="1" x14ac:dyDescent="0.15"/>
  <cols>
    <col min="1" max="1" width="45.640625" style="1" customWidth="1"/>
    <col min="2" max="2" width="17.22265625" style="1" customWidth="1"/>
    <col min="3" max="3" width="13.53125" style="1" customWidth="1"/>
    <col min="4" max="4" width="13.28515625" style="1" customWidth="1"/>
    <col min="5" max="5" width="12.9140625" style="1" customWidth="1"/>
    <col min="6" max="6" width="13.65234375" style="1" customWidth="1"/>
    <col min="7" max="7" width="14.390625" style="1" customWidth="1"/>
    <col min="8" max="8" width="13.53125" style="1" customWidth="1"/>
    <col min="9" max="13" width="11.44140625" style="1" customWidth="1"/>
    <col min="14" max="14" width="13.8984375" style="50" customWidth="1"/>
    <col min="15" max="15" width="15.25390625" style="1" customWidth="1"/>
    <col min="16" max="16" width="25.83203125" style="1" customWidth="1"/>
    <col min="17" max="17" width="26.5703125" style="1" customWidth="1"/>
    <col min="18" max="18" width="22.7578125" style="1" customWidth="1"/>
    <col min="19" max="19" width="10.45703125" style="1" customWidth="1"/>
    <col min="20" max="20" width="10.45703125" style="1" bestFit="1" customWidth="1"/>
    <col min="21" max="21" width="14.76171875" style="1" customWidth="1"/>
    <col min="22" max="22" width="16.359375" style="1" customWidth="1"/>
    <col min="23" max="16384" width="8.85546875" style="1"/>
  </cols>
  <sheetData>
    <row r="1" spans="1:22" ht="25.15" customHeight="1" x14ac:dyDescent="0.15"/>
    <row r="2" spans="1:22" ht="60" customHeight="1" thickBot="1" x14ac:dyDescent="0.2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51"/>
      <c r="O2" s="3"/>
      <c r="Q2"/>
      <c r="R2"/>
      <c r="U2" s="81" t="s">
        <v>1</v>
      </c>
      <c r="V2" s="81"/>
    </row>
    <row r="3" spans="1:22" ht="19.899999999999999" customHeight="1" thickTop="1" thickBot="1" x14ac:dyDescent="0.2">
      <c r="A3" s="4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52"/>
      <c r="O3" s="6"/>
      <c r="Q3"/>
      <c r="R3"/>
      <c r="U3" s="66"/>
      <c r="V3" s="66"/>
    </row>
    <row r="4" spans="1:22" ht="34.9" customHeight="1" x14ac:dyDescent="0.15">
      <c r="A4" s="7" t="s">
        <v>2</v>
      </c>
      <c r="B4" s="8"/>
      <c r="C4" s="9"/>
      <c r="Q4"/>
      <c r="R4"/>
      <c r="U4" s="80" t="s">
        <v>3</v>
      </c>
      <c r="V4" s="80">
        <v>82500</v>
      </c>
    </row>
    <row r="5" spans="1:22" ht="30" customHeight="1" x14ac:dyDescent="0.15">
      <c r="A5" s="10" t="s">
        <v>4</v>
      </c>
      <c r="B5" s="11">
        <f>Income[[#Totals],[Total]]</f>
        <v>0</v>
      </c>
      <c r="C5" s="9"/>
      <c r="M5"/>
      <c r="N5"/>
      <c r="O5"/>
      <c r="Q5"/>
      <c r="R5"/>
    </row>
    <row r="6" spans="1:22" ht="30" customHeight="1" x14ac:dyDescent="0.15">
      <c r="A6" s="12" t="s">
        <v>5</v>
      </c>
      <c r="B6" s="13">
        <f>$N$45</f>
        <v>0</v>
      </c>
      <c r="C6" s="9"/>
      <c r="M6"/>
      <c r="N6"/>
      <c r="O6"/>
      <c r="Q6"/>
      <c r="R6"/>
      <c r="V6" s="1">
        <v>50500</v>
      </c>
    </row>
    <row r="7" spans="1:22" ht="19.899999999999999" customHeight="1" x14ac:dyDescent="0.15">
      <c r="B7" s="14"/>
      <c r="C7" s="9"/>
      <c r="Q7"/>
      <c r="R7"/>
    </row>
    <row r="8" spans="1:22" ht="34.9" customHeight="1" x14ac:dyDescent="0.15">
      <c r="A8" s="7" t="s">
        <v>7</v>
      </c>
      <c r="B8" s="15">
        <f>B5-B6</f>
        <v>0</v>
      </c>
      <c r="C8" s="9"/>
      <c r="Q8"/>
      <c r="R8"/>
    </row>
    <row r="9" spans="1:22" ht="19.899999999999999" customHeight="1" x14ac:dyDescent="0.15">
      <c r="B9" s="14"/>
      <c r="Q9"/>
      <c r="R9"/>
    </row>
    <row r="10" spans="1:22" ht="34.9" customHeight="1" x14ac:dyDescent="0.15">
      <c r="A10" s="28" t="s">
        <v>9</v>
      </c>
      <c r="B10" s="27" t="e">
        <f xml:space="preserve"> B6/B5</f>
        <v>#DIV/0!</v>
      </c>
      <c r="Q10"/>
      <c r="R10"/>
      <c r="T10"/>
      <c r="U10"/>
    </row>
    <row r="11" spans="1:22" ht="19.899999999999999" customHeight="1" x14ac:dyDescent="0.15">
      <c r="B11" s="26"/>
      <c r="O11"/>
      <c r="Q11"/>
      <c r="R11"/>
      <c r="T11"/>
      <c r="U11"/>
    </row>
    <row r="12" spans="1:22" ht="35.25" customHeight="1" x14ac:dyDescent="0.15">
      <c r="A12" s="16" t="s">
        <v>10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53"/>
      <c r="O12" s="17"/>
      <c r="Q12"/>
      <c r="R12"/>
      <c r="T12"/>
      <c r="U12"/>
    </row>
    <row r="13" spans="1:22" ht="35.25" customHeight="1" x14ac:dyDescent="0.2">
      <c r="A13" s="18" t="s">
        <v>11</v>
      </c>
      <c r="B13" s="18" t="s">
        <v>12</v>
      </c>
      <c r="C13" s="19" t="s">
        <v>13</v>
      </c>
      <c r="D13" s="19" t="s">
        <v>14</v>
      </c>
      <c r="E13" s="19" t="s">
        <v>15</v>
      </c>
      <c r="F13" s="19" t="s">
        <v>16</v>
      </c>
      <c r="G13" s="19" t="s">
        <v>17</v>
      </c>
      <c r="H13" s="19" t="s">
        <v>18</v>
      </c>
      <c r="I13" s="19" t="s">
        <v>19</v>
      </c>
      <c r="J13" s="19" t="s">
        <v>20</v>
      </c>
      <c r="K13" s="19" t="s">
        <v>21</v>
      </c>
      <c r="L13" s="19" t="s">
        <v>22</v>
      </c>
      <c r="M13" s="19" t="s">
        <v>23</v>
      </c>
      <c r="N13" s="54" t="s">
        <v>8</v>
      </c>
      <c r="O13" s="25"/>
      <c r="Q13"/>
      <c r="R13"/>
      <c r="T13"/>
      <c r="U13"/>
    </row>
    <row r="14" spans="1:22" ht="35.25" customHeight="1" x14ac:dyDescent="0.2">
      <c r="A14" s="20" t="s">
        <v>24</v>
      </c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55">
        <f>SUM(Income[[#This Row],[Jan]:[Dec]])</f>
        <v>0</v>
      </c>
      <c r="O14" s="24"/>
      <c r="Q14"/>
      <c r="R14"/>
      <c r="T14"/>
      <c r="U14"/>
    </row>
    <row r="15" spans="1:22" ht="35.25" customHeight="1" x14ac:dyDescent="0.2">
      <c r="A15" s="20" t="s">
        <v>6</v>
      </c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55">
        <f>SUM(Income[[#This Row],[Jan]:[Dec]])</f>
        <v>0</v>
      </c>
      <c r="O15" s="24"/>
      <c r="Q15"/>
      <c r="R15"/>
      <c r="T15"/>
      <c r="U15"/>
    </row>
    <row r="16" spans="1:22" ht="35.25" customHeight="1" x14ac:dyDescent="0.15">
      <c r="A16" s="22" t="s">
        <v>25</v>
      </c>
      <c r="B16" s="30"/>
      <c r="C16" s="32"/>
      <c r="D16" s="32"/>
      <c r="E16" s="32"/>
      <c r="F16" s="31"/>
      <c r="G16" s="31"/>
      <c r="H16" s="31"/>
      <c r="I16" s="31"/>
      <c r="J16" s="31"/>
      <c r="K16" s="31"/>
      <c r="L16" s="31"/>
      <c r="M16" s="31"/>
      <c r="N16" s="55">
        <f>SUM(Income[[#This Row],[Jan]:[Dec]])</f>
        <v>0</v>
      </c>
      <c r="O16" s="24"/>
      <c r="Q16"/>
      <c r="R16"/>
      <c r="T16"/>
      <c r="U16"/>
    </row>
    <row r="17" spans="1:21" ht="35.25" customHeight="1" x14ac:dyDescent="0.15">
      <c r="A17" s="22" t="s">
        <v>26</v>
      </c>
      <c r="B17" s="30"/>
      <c r="C17" s="32"/>
      <c r="D17" s="32"/>
      <c r="E17" s="32"/>
      <c r="F17" s="31"/>
      <c r="G17" s="31"/>
      <c r="H17" s="31"/>
      <c r="I17" s="31"/>
      <c r="J17" s="31"/>
      <c r="K17" s="31"/>
      <c r="L17" s="31"/>
      <c r="M17" s="31"/>
      <c r="N17" s="55">
        <f>SUM(Income[[#This Row],[Jan]:[Dec]])</f>
        <v>0</v>
      </c>
      <c r="O17" s="24"/>
      <c r="Q17"/>
      <c r="R17"/>
      <c r="T17"/>
      <c r="U17"/>
    </row>
    <row r="18" spans="1:21" ht="35.25" customHeight="1" x14ac:dyDescent="0.15">
      <c r="A18" s="22" t="s">
        <v>27</v>
      </c>
      <c r="B18" s="30"/>
      <c r="C18" s="32"/>
      <c r="D18" s="32"/>
      <c r="E18" s="32"/>
      <c r="F18" s="31"/>
      <c r="G18" s="31"/>
      <c r="H18" s="31"/>
      <c r="I18" s="31"/>
      <c r="J18" s="31"/>
      <c r="K18" s="31"/>
      <c r="L18" s="31"/>
      <c r="M18" s="31"/>
      <c r="N18" s="55">
        <f>SUM(Income[[#This Row],[Jan]:[Dec]])</f>
        <v>0</v>
      </c>
      <c r="O18" s="24"/>
      <c r="Q18"/>
      <c r="R18"/>
    </row>
    <row r="19" spans="1:21" ht="35.25" customHeight="1" x14ac:dyDescent="0.2">
      <c r="A19" s="21" t="s">
        <v>8</v>
      </c>
      <c r="B19" s="33">
        <f>SUBTOTAL(109,Income[Jan])</f>
        <v>0</v>
      </c>
      <c r="C19" s="33">
        <f>SUBTOTAL(109,Income[Feb])</f>
        <v>0</v>
      </c>
      <c r="D19" s="33">
        <f>SUBTOTAL(109,Income[Mar])</f>
        <v>0</v>
      </c>
      <c r="E19" s="33">
        <f>SUBTOTAL(109,Income[Apr])</f>
        <v>0</v>
      </c>
      <c r="F19" s="33">
        <f>SUBTOTAL(109,Income[May])</f>
        <v>0</v>
      </c>
      <c r="G19" s="33">
        <f>SUBTOTAL(109,Income[Jun])</f>
        <v>0</v>
      </c>
      <c r="H19" s="33">
        <f>SUBTOTAL(109,Income[Jul])</f>
        <v>0</v>
      </c>
      <c r="I19" s="33">
        <f>SUBTOTAL(109,Income[Aug])</f>
        <v>0</v>
      </c>
      <c r="J19" s="33">
        <f>SUBTOTAL(109,Income[Sep])</f>
        <v>0</v>
      </c>
      <c r="K19" s="33">
        <f>SUBTOTAL(109,Income[Oct])</f>
        <v>0</v>
      </c>
      <c r="L19" s="33">
        <f>SUBTOTAL(109,Income[Nov])</f>
        <v>0</v>
      </c>
      <c r="M19" s="33">
        <f>SUBTOTAL(109,Income[Dec])</f>
        <v>0</v>
      </c>
      <c r="N19" s="56">
        <f>SUBTOTAL(109,Income[Total])</f>
        <v>0</v>
      </c>
      <c r="O19" s="24"/>
      <c r="Q19"/>
      <c r="R19"/>
    </row>
    <row r="20" spans="1:21" ht="35.25" customHeight="1" x14ac:dyDescent="0.15">
      <c r="A20" s="21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56"/>
      <c r="O20" s="24"/>
      <c r="Q20"/>
      <c r="R20"/>
    </row>
    <row r="21" spans="1:21" ht="35.25" customHeight="1" thickBot="1" x14ac:dyDescent="0.2">
      <c r="A21" s="16" t="s">
        <v>28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53"/>
      <c r="O21" s="17"/>
      <c r="P21" s="24"/>
      <c r="Q21" s="24"/>
    </row>
    <row r="22" spans="1:21" ht="34.9" customHeight="1" thickTop="1" thickBot="1" x14ac:dyDescent="0.2">
      <c r="A22" s="34" t="s">
        <v>11</v>
      </c>
      <c r="B22" s="35" t="s">
        <v>12</v>
      </c>
      <c r="C22" s="36" t="s">
        <v>13</v>
      </c>
      <c r="D22" s="36" t="s">
        <v>14</v>
      </c>
      <c r="E22" s="36" t="s">
        <v>15</v>
      </c>
      <c r="F22" s="36" t="s">
        <v>16</v>
      </c>
      <c r="G22" s="36" t="s">
        <v>17</v>
      </c>
      <c r="H22" s="36" t="s">
        <v>18</v>
      </c>
      <c r="I22" s="36" t="s">
        <v>19</v>
      </c>
      <c r="J22" s="36" t="s">
        <v>20</v>
      </c>
      <c r="K22" s="36" t="s">
        <v>21</v>
      </c>
      <c r="L22" s="36" t="s">
        <v>22</v>
      </c>
      <c r="M22" s="36" t="s">
        <v>23</v>
      </c>
      <c r="N22" s="57" t="s">
        <v>8</v>
      </c>
      <c r="O22"/>
      <c r="P22"/>
    </row>
    <row r="23" spans="1:21" ht="30" customHeight="1" x14ac:dyDescent="0.15">
      <c r="A23" s="37" t="s">
        <v>29</v>
      </c>
      <c r="B23" s="38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58">
        <f t="shared" ref="N23:N42" si="0">SUM($B23:$M23)</f>
        <v>0</v>
      </c>
    </row>
    <row r="24" spans="1:21" ht="30" customHeight="1" x14ac:dyDescent="0.15">
      <c r="A24" s="40" t="s">
        <v>30</v>
      </c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59">
        <f t="shared" si="0"/>
        <v>0</v>
      </c>
    </row>
    <row r="25" spans="1:21" ht="30" customHeight="1" x14ac:dyDescent="0.15">
      <c r="A25" s="43" t="s">
        <v>31</v>
      </c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60">
        <f t="shared" si="0"/>
        <v>0</v>
      </c>
    </row>
    <row r="26" spans="1:21" ht="30" customHeight="1" x14ac:dyDescent="0.15">
      <c r="A26" s="40" t="s">
        <v>6</v>
      </c>
      <c r="B26" s="41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59">
        <f t="shared" si="0"/>
        <v>0</v>
      </c>
    </row>
    <row r="27" spans="1:21" ht="30" customHeight="1" x14ac:dyDescent="0.15">
      <c r="A27" s="46" t="s">
        <v>32</v>
      </c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60">
        <f t="shared" si="0"/>
        <v>0</v>
      </c>
    </row>
    <row r="28" spans="1:21" ht="30" customHeight="1" x14ac:dyDescent="0.15">
      <c r="A28" s="40" t="s">
        <v>33</v>
      </c>
      <c r="B28" s="41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59">
        <f t="shared" si="0"/>
        <v>0</v>
      </c>
    </row>
    <row r="29" spans="1:21" ht="30" customHeight="1" x14ac:dyDescent="0.15">
      <c r="A29" s="43" t="s">
        <v>34</v>
      </c>
      <c r="B29" s="44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60">
        <f t="shared" si="0"/>
        <v>0</v>
      </c>
    </row>
    <row r="30" spans="1:21" ht="30" customHeight="1" x14ac:dyDescent="0.15">
      <c r="A30" s="40" t="s">
        <v>35</v>
      </c>
      <c r="B30" s="41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59">
        <f t="shared" si="0"/>
        <v>0</v>
      </c>
    </row>
    <row r="31" spans="1:21" ht="30" customHeight="1" x14ac:dyDescent="0.15">
      <c r="A31" s="43" t="s">
        <v>36</v>
      </c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60">
        <f t="shared" si="0"/>
        <v>0</v>
      </c>
    </row>
    <row r="32" spans="1:21" ht="30" customHeight="1" x14ac:dyDescent="0.15">
      <c r="A32" s="40" t="s">
        <v>37</v>
      </c>
      <c r="B32" s="41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59">
        <f t="shared" si="0"/>
        <v>0</v>
      </c>
    </row>
    <row r="33" spans="1:16" ht="30" customHeight="1" x14ac:dyDescent="0.15">
      <c r="A33" s="43" t="s">
        <v>38</v>
      </c>
      <c r="B33" s="44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60">
        <f t="shared" si="0"/>
        <v>0</v>
      </c>
    </row>
    <row r="34" spans="1:16" ht="30" customHeight="1" x14ac:dyDescent="0.15">
      <c r="A34" s="40" t="s">
        <v>39</v>
      </c>
      <c r="B34" s="41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59">
        <f t="shared" si="0"/>
        <v>0</v>
      </c>
    </row>
    <row r="35" spans="1:16" ht="30" customHeight="1" x14ac:dyDescent="0.15">
      <c r="A35" s="43" t="s">
        <v>40</v>
      </c>
      <c r="B35" s="44"/>
      <c r="C35" s="45"/>
      <c r="D35" s="45"/>
      <c r="E35" s="45"/>
      <c r="F35" s="45"/>
      <c r="G35" s="45"/>
      <c r="H35" s="45"/>
      <c r="I35" s="45"/>
      <c r="J35" s="67"/>
      <c r="K35" s="45"/>
      <c r="L35" s="45"/>
      <c r="M35" s="45"/>
      <c r="N35" s="60">
        <f t="shared" si="0"/>
        <v>0</v>
      </c>
      <c r="P35" s="73"/>
    </row>
    <row r="36" spans="1:16" ht="30" customHeight="1" x14ac:dyDescent="0.15">
      <c r="A36" s="47" t="s">
        <v>41</v>
      </c>
      <c r="B36" s="41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59">
        <f t="shared" si="0"/>
        <v>0</v>
      </c>
    </row>
    <row r="37" spans="1:16" ht="30" customHeight="1" x14ac:dyDescent="0.15">
      <c r="A37" s="43" t="s">
        <v>42</v>
      </c>
      <c r="B37" s="44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60">
        <f t="shared" si="0"/>
        <v>0</v>
      </c>
    </row>
    <row r="38" spans="1:16" ht="30" customHeight="1" x14ac:dyDescent="0.15">
      <c r="A38" s="40" t="s">
        <v>43</v>
      </c>
      <c r="B38" s="41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59">
        <f t="shared" si="0"/>
        <v>0</v>
      </c>
    </row>
    <row r="39" spans="1:16" ht="30" customHeight="1" x14ac:dyDescent="0.15">
      <c r="A39" s="46" t="s">
        <v>44</v>
      </c>
      <c r="B39" s="44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60">
        <f t="shared" si="0"/>
        <v>0</v>
      </c>
    </row>
    <row r="40" spans="1:16" ht="30" customHeight="1" x14ac:dyDescent="0.15">
      <c r="A40" s="40" t="s">
        <v>45</v>
      </c>
      <c r="B40" s="41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59">
        <f t="shared" si="0"/>
        <v>0</v>
      </c>
    </row>
    <row r="41" spans="1:16" ht="30" customHeight="1" x14ac:dyDescent="0.15">
      <c r="A41" s="43" t="s">
        <v>46</v>
      </c>
      <c r="B41" s="44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60">
        <f t="shared" si="0"/>
        <v>0</v>
      </c>
    </row>
    <row r="42" spans="1:16" ht="30" customHeight="1" x14ac:dyDescent="0.15">
      <c r="A42" s="40" t="s">
        <v>47</v>
      </c>
      <c r="B42" s="41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59">
        <f t="shared" si="0"/>
        <v>0</v>
      </c>
    </row>
    <row r="43" spans="1:16" ht="30" customHeight="1" x14ac:dyDescent="0.15">
      <c r="A43" s="43" t="s">
        <v>48</v>
      </c>
      <c r="B43" s="44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70"/>
      <c r="N43" s="69">
        <f>SUM($B43:$M43)</f>
        <v>0</v>
      </c>
    </row>
    <row r="44" spans="1:16" s="71" customFormat="1" ht="30" customHeight="1" x14ac:dyDescent="0.15">
      <c r="A44" s="74" t="s">
        <v>49</v>
      </c>
      <c r="B44" s="77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9">
        <f>SUM($B44:$M44)</f>
        <v>0</v>
      </c>
    </row>
    <row r="45" spans="1:16" ht="30" customHeight="1" x14ac:dyDescent="0.15">
      <c r="A45" s="48" t="s">
        <v>8</v>
      </c>
      <c r="B45" s="75">
        <f>SUBTOTAL(109,$B$23:$B$44)</f>
        <v>0</v>
      </c>
      <c r="C45" s="76">
        <f>SUBTOTAL(109,$C$23:$C$44)</f>
        <v>0</v>
      </c>
      <c r="D45" s="49">
        <f>SUBTOTAL(109,$D$23:$D$44)</f>
        <v>0</v>
      </c>
      <c r="E45" s="49">
        <f>SUBTOTAL(109,$E$23:$E$44)</f>
        <v>0</v>
      </c>
      <c r="F45" s="49">
        <f>SUBTOTAL(109,$F$23:$F$44)</f>
        <v>0</v>
      </c>
      <c r="G45" s="49">
        <f>SUBTOTAL(109,$G$23:$G$44)</f>
        <v>0</v>
      </c>
      <c r="H45" s="49">
        <f>SUBTOTAL(109,$H$23:$H$44)</f>
        <v>0</v>
      </c>
      <c r="I45" s="49">
        <f>SUBTOTAL(109,$I$23:$I$44)</f>
        <v>0</v>
      </c>
      <c r="J45" s="49">
        <f>SUBTOTAL(109,$J$23:$J$44)</f>
        <v>0</v>
      </c>
      <c r="K45" s="49">
        <f>SUBTOTAL(109,$K$23:$K$44)</f>
        <v>0</v>
      </c>
      <c r="L45" s="49">
        <f>SUBTOTAL(109,$L$23:$L$44)</f>
        <v>0</v>
      </c>
      <c r="M45" s="49">
        <f>SUBTOTAL(109,$M$23:$M$44)</f>
        <v>0</v>
      </c>
      <c r="N45" s="49">
        <f>SUBTOTAL(109,N23:N44)</f>
        <v>0</v>
      </c>
    </row>
    <row r="46" spans="1:16" s="61" customFormat="1" ht="30" customHeight="1" x14ac:dyDescent="0.15">
      <c r="A46" s="62"/>
      <c r="B46" s="72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</row>
    <row r="47" spans="1:16" ht="30" customHeight="1" x14ac:dyDescent="0.15">
      <c r="A47" s="64" t="s">
        <v>7</v>
      </c>
      <c r="B47" s="65">
        <f>B19-B45</f>
        <v>0</v>
      </c>
      <c r="C47" s="65">
        <f>C19-C45</f>
        <v>0</v>
      </c>
      <c r="D47" s="65">
        <f>D14-D45</f>
        <v>0</v>
      </c>
      <c r="E47" s="65">
        <f t="shared" ref="D47:M47" si="1">E14-E45</f>
        <v>0</v>
      </c>
      <c r="F47" s="65">
        <f t="shared" si="1"/>
        <v>0</v>
      </c>
      <c r="G47" s="65">
        <f>G14-G45</f>
        <v>0</v>
      </c>
      <c r="H47" s="65">
        <f t="shared" si="1"/>
        <v>0</v>
      </c>
      <c r="I47" s="65">
        <f t="shared" si="1"/>
        <v>0</v>
      </c>
      <c r="J47" s="65">
        <f t="shared" si="1"/>
        <v>0</v>
      </c>
      <c r="K47" s="65">
        <f t="shared" si="1"/>
        <v>0</v>
      </c>
      <c r="L47" s="65">
        <f t="shared" si="1"/>
        <v>0</v>
      </c>
      <c r="M47" s="65">
        <f t="shared" si="1"/>
        <v>0</v>
      </c>
      <c r="N47" s="68">
        <f>N19-N45</f>
        <v>0</v>
      </c>
    </row>
    <row r="48" spans="1:16" ht="30" customHeight="1" x14ac:dyDescent="0.15"/>
    <row r="49" ht="30" customHeight="1" x14ac:dyDescent="0.15"/>
    <row r="50" ht="30" customHeight="1" x14ac:dyDescent="0.15"/>
    <row r="51" ht="30" customHeight="1" x14ac:dyDescent="0.15"/>
    <row r="52" ht="30" customHeight="1" x14ac:dyDescent="0.15"/>
    <row r="53" ht="30" customHeight="1" x14ac:dyDescent="0.15"/>
    <row r="54" ht="30" customHeight="1" x14ac:dyDescent="0.15"/>
    <row r="55" ht="30" customHeight="1" x14ac:dyDescent="0.15"/>
    <row r="56" ht="30" customHeight="1" x14ac:dyDescent="0.15"/>
    <row r="57" ht="30" customHeight="1" x14ac:dyDescent="0.15"/>
    <row r="58" ht="30" customHeight="1" x14ac:dyDescent="0.15"/>
    <row r="59" ht="30" customHeight="1" x14ac:dyDescent="0.15"/>
    <row r="60" ht="30" customHeight="1" x14ac:dyDescent="0.15"/>
    <row r="61" ht="30" customHeight="1" x14ac:dyDescent="0.15"/>
    <row r="62" ht="30" customHeight="1" x14ac:dyDescent="0.15"/>
    <row r="63" ht="30" customHeight="1" x14ac:dyDescent="0.15"/>
    <row r="64" ht="30" customHeight="1" x14ac:dyDescent="0.15"/>
    <row r="65" spans="1:3" ht="30" customHeight="1" x14ac:dyDescent="0.15"/>
    <row r="66" spans="1:3" ht="30" customHeight="1" x14ac:dyDescent="0.15"/>
    <row r="67" spans="1:3" ht="30" customHeight="1" x14ac:dyDescent="0.15"/>
    <row r="68" spans="1:3" ht="30" customHeight="1" x14ac:dyDescent="0.15"/>
    <row r="69" spans="1:3" ht="30" customHeight="1" x14ac:dyDescent="0.15"/>
    <row r="70" spans="1:3" ht="30" customHeight="1" x14ac:dyDescent="0.15"/>
    <row r="71" spans="1:3" ht="30" customHeight="1" x14ac:dyDescent="0.15"/>
    <row r="72" spans="1:3" ht="30" customHeight="1" x14ac:dyDescent="0.15"/>
    <row r="73" spans="1:3" ht="30" customHeight="1" x14ac:dyDescent="0.15"/>
    <row r="74" spans="1:3" ht="30" customHeight="1" x14ac:dyDescent="0.15"/>
    <row r="75" spans="1:3" ht="30" customHeight="1" x14ac:dyDescent="0.15">
      <c r="A75" s="29"/>
    </row>
    <row r="76" spans="1:3" ht="36" customHeight="1" x14ac:dyDescent="0.15"/>
    <row r="77" spans="1:3" ht="13.5" x14ac:dyDescent="0.15">
      <c r="C77" s="23"/>
    </row>
    <row r="78" spans="1:3" ht="13.5" x14ac:dyDescent="0.15">
      <c r="C78" s="23"/>
    </row>
    <row r="79" spans="1:3" ht="13.5" x14ac:dyDescent="0.15">
      <c r="C79" s="23"/>
    </row>
    <row r="80" spans="1:3" ht="13.5" x14ac:dyDescent="0.15">
      <c r="C80" s="23"/>
    </row>
    <row r="81" spans="3:3" ht="13.5" x14ac:dyDescent="0.15">
      <c r="C81" s="23"/>
    </row>
    <row r="82" spans="3:3" ht="13.5" x14ac:dyDescent="0.15">
      <c r="C82" s="23"/>
    </row>
  </sheetData>
  <mergeCells count="1">
    <mergeCell ref="U2:V2"/>
  </mergeCells>
  <phoneticPr fontId="19" alignment="center"/>
  <dataValidations count="13">
    <dataValidation allowBlank="1" showInputMessage="1" showErrorMessage="1" prompt="Total monthly income and Total monthly expenses are automatically updated in cells below" sqref="B4" xr:uid="{00000000-0002-0000-0000-000000000000}"/>
    <dataValidation allowBlank="1" showInputMessage="1" showErrorMessage="1" prompt="Total Monthly Expenses are automatically updated in cell at right" sqref="A6" xr:uid="{00000000-0002-0000-0000-000001000000}"/>
    <dataValidation allowBlank="1" showInputMessage="1" showErrorMessage="1" prompt="Total Monthly Expenses are automatically updated in this cell" sqref="B6" xr:uid="{00000000-0002-0000-0000-000002000000}"/>
    <dataValidation allowBlank="1" showInputMessage="1" showErrorMessage="1" prompt="Total Monthly Income is automatically updated in cell at right" sqref="A5" xr:uid="{00000000-0002-0000-0000-000003000000}"/>
    <dataValidation allowBlank="1" showInputMessage="1" showErrorMessage="1" prompt="Total Monthly Income is automatically updated in this cell" sqref="B5" xr:uid="{00000000-0002-0000-0000-000004000000}"/>
    <dataValidation allowBlank="1" showInputMessage="1" showErrorMessage="1" prompt="Balance amount is automatically calculated in cell at right " sqref="A8" xr:uid="{00000000-0002-0000-0000-000005000000}"/>
    <dataValidation allowBlank="1" showInputMessage="1" showErrorMessage="1" prompt="Balance amount is automatically calculated in this cell" sqref="B8" xr:uid="{00000000-0002-0000-0000-000006000000}"/>
    <dataValidation allowBlank="1" showInputMessage="1" showErrorMessage="1" prompt="Enter Monthly Income Items in this column under this heading" sqref="A13" xr:uid="{00000000-0002-0000-0000-000007000000}"/>
    <dataValidation allowBlank="1" showInputMessage="1" showErrorMessage="1" prompt="Enter Amount in this column under this heading" sqref="B22 B13" xr:uid="{00000000-0002-0000-0000-000008000000}"/>
    <dataValidation allowBlank="1" showInputMessage="1" showErrorMessage="1" prompt="Enter Monthly Expense Items in this column under this heading" sqref="A22" xr:uid="{00000000-0002-0000-0000-000009000000}"/>
    <dataValidation allowBlank="1" showInputMessage="1" showErrorMessage="1" prompt="Title of this worksheet is in this cell. Enter Monthly Income in Income table and Monthly Expenses in Expenses table" sqref="A2" xr:uid="{00000000-0002-0000-0000-00000A000000}"/>
    <dataValidation allowBlank="1" showInputMessage="1" showErrorMessage="1" prompt="Percentage of income spent is automatically calculated in cell to the right" sqref="A10" xr:uid="{00000000-0002-0000-0000-00000B000000}"/>
    <dataValidation allowBlank="1" showInputMessage="1" showErrorMessage="1" prompt="Percentage of income spent is automatically calculated in this cell" sqref="B10" xr:uid="{00000000-0002-0000-0000-00000C000000}"/>
  </dataValidations>
  <pageMargins left="0.7" right="0.7" top="0.75" bottom="0.75" header="0.3" footer="0.3"/>
  <pageSetup paperSize="8" scale="49" fitToHeight="0" orientation="landscape" r:id="rId1"/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ackground xmlns="71af3243-3dd4-4a8d-8c0d-dd76da1f02a5">false</Background>
    <Status xmlns="71af3243-3dd4-4a8d-8c0d-dd76da1f02a5">Not started</Status>
    <_ip_UnifiedCompliancePolicyUIAction xmlns="http://schemas.microsoft.com/sharepoint/v3" xsi:nil="true"/>
    <Image xmlns="71af3243-3dd4-4a8d-8c0d-dd76da1f02a5">
      <Url xsi:nil="true"/>
      <Description xsi:nil="true"/>
    </Image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215279B3-9E9E-4C05-B41F-993982E955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8A6C33-6507-4EFB-BEC8-7F8198102DED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http://schemas.microsoft.com/sharepoint/v3"/>
    <ds:schemaRef ds:uri="71af3243-3dd4-4a8d-8c0d-dd76da1f02a5"/>
    <ds:schemaRef ds:uri="16c05727-aa75-4e4a-9b5f-8a80a1165891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113EEF33-4398-4C7D-AC87-8E8CA521E0DF}">
  <ds:schemaRefs>
    <ds:schemaRef ds:uri="http://schemas.microsoft.com/office/2006/metadata/properties"/>
    <ds:schemaRef ds:uri="http://www.w3.org/2000/xmlns/"/>
    <ds:schemaRef ds:uri="71af3243-3dd4-4a8d-8c0d-dd76da1f02a5"/>
    <ds:schemaRef ds:uri="http://schemas.microsoft.com/sharepoint/v3"/>
    <ds:schemaRef ds:uri="http://www.w3.org/2001/XMLSchema-instance"/>
    <ds:schemaRef ds:uri="http://schemas.microsoft.com/office/infopath/2007/PartnerControls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TM22605629</Template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by month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yuvraj yuvi</cp:lastModifiedBy>
  <cp:revision>1</cp:revision>
  <dcterms:created xsi:type="dcterms:W3CDTF">2023-11-06T06:53:42Z</dcterms:created>
  <dcterms:modified xsi:type="dcterms:W3CDTF">2026-08-10T01:24:20Z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